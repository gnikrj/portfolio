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ffr\projects\portfolio\projects\bending-spoons-integration-model\data\"/>
    </mc:Choice>
  </mc:AlternateContent>
  <xr:revisionPtr revIDLastSave="0" documentId="13_ncr:1_{FD0B7B13-EAE1-47BC-9121-41118B6B36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1" r:id="rId1"/>
    <sheet name="Inputs" sheetId="2" r:id="rId2"/>
    <sheet name="Leverage" sheetId="3" r:id="rId3"/>
    <sheet name="Miro_Payback" sheetId="4" r:id="rId4"/>
    <sheet name="Working_Capital" sheetId="5" r:id="rId5"/>
    <sheet name="Scorecard" sheetId="6" r:id="rId6"/>
    <sheet name="Lookback" sheetId="7" r:id="rId7"/>
    <sheet name="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D10" i="7" s="1"/>
  <c r="D9" i="7"/>
  <c r="D8" i="7"/>
  <c r="B6" i="7"/>
  <c r="D6" i="7" s="1"/>
  <c r="B5" i="7"/>
  <c r="D5" i="7" s="1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C5" i="5"/>
  <c r="B5" i="5"/>
  <c r="B7" i="5" s="1"/>
  <c r="C4" i="5"/>
  <c r="C8" i="5" s="1"/>
  <c r="B4" i="5"/>
  <c r="B17" i="4"/>
  <c r="B16" i="4"/>
  <c r="B5" i="4"/>
  <c r="B4" i="4"/>
  <c r="C12" i="4" s="1"/>
  <c r="B23" i="3"/>
  <c r="B22" i="3"/>
  <c r="B21" i="4" s="1"/>
  <c r="B26" i="4" s="1"/>
  <c r="B18" i="3"/>
  <c r="B14" i="3"/>
  <c r="B13" i="3"/>
  <c r="B15" i="3" s="1"/>
  <c r="B12" i="3"/>
  <c r="B10" i="3"/>
  <c r="B28" i="3" s="1"/>
  <c r="B9" i="3"/>
  <c r="B8" i="3"/>
  <c r="B7" i="3"/>
  <c r="B6" i="3"/>
  <c r="B5" i="3"/>
  <c r="C32" i="3" l="1"/>
  <c r="C9" i="5"/>
  <c r="D12" i="4"/>
  <c r="C33" i="3"/>
  <c r="D10" i="4"/>
  <c r="B17" i="3"/>
  <c r="B31" i="3"/>
  <c r="C31" i="3"/>
  <c r="C11" i="4"/>
  <c r="C30" i="3"/>
  <c r="B11" i="4"/>
  <c r="B19" i="3"/>
  <c r="B32" i="3"/>
  <c r="D11" i="4"/>
  <c r="B29" i="3"/>
  <c r="B18" i="4"/>
  <c r="C29" i="3"/>
  <c r="C7" i="5"/>
  <c r="B30" i="3"/>
  <c r="C10" i="4"/>
  <c r="B20" i="3"/>
  <c r="B12" i="4"/>
  <c r="C28" i="3"/>
  <c r="B10" i="4"/>
  <c r="B33" i="3"/>
  <c r="B6" i="4"/>
  <c r="B7" i="7" l="1"/>
  <c r="D7" i="7" s="1"/>
  <c r="B27" i="4"/>
  <c r="B22" i="4"/>
  <c r="B20" i="4"/>
  <c r="B19" i="4"/>
  <c r="B25" i="4"/>
</calcChain>
</file>

<file path=xl/sharedStrings.xml><?xml version="1.0" encoding="utf-8"?>
<sst xmlns="http://schemas.openxmlformats.org/spreadsheetml/2006/main" count="296" uniqueCount="222">
  <si>
    <t>Bending Spoons: acquisition-integration model</t>
  </si>
  <si>
    <t>Outside-in, public sources only. As of Oct 12, 2026. Prepared by Jeff King.</t>
  </si>
  <si>
    <t>Question: how much does integration speed matter to Bending Spoons' economics, and what should finance own in each integration?</t>
  </si>
  <si>
    <t>Tabs</t>
  </si>
  <si>
    <t>Inputs: every hardcoded number, with its source. Change blue cells here; everything else recalculates.</t>
  </si>
  <si>
    <t>Leverage: net-debt walk from Q2 2026 through the IPO, Airtable and Miro, vs. the 4.0x covenant. Shows why documented cost savings matter.</t>
  </si>
  <si>
    <t>Miro_Payback: price / post-integration operating income across revenue-retention and margin cases; cost of each month of delay.</t>
  </si>
  <si>
    <t>Working_Capital: receivables and DSO check across acquisitions (order-to-cash lens).</t>
  </si>
  <si>
    <t>Scorecard: one-page integration scorecard template per acquisition (example row = Miro, illustrative targets).</t>
  </si>
  <si>
    <t>Lookback: 12-month underwritten-vs-actual template that feeds the next underwriting.</t>
  </si>
  <si>
    <t>Sources: links to every page used.</t>
  </si>
  <si>
    <t>Legend</t>
  </si>
  <si>
    <t>Blue text = hardcoded input from a source  |  Black = formula  |  Green = link to another tab  |  Yellow fill = my assumption (change it)</t>
  </si>
  <si>
    <t>Caveats</t>
  </si>
  <si>
    <t>Reported leverage uses pro forma adjusted EBITDA that includes achieved AND certain expected cost savings (release footnote 3). TTM EBITDA here is implied from net debt / 2.4x, so it carries rounding error of about +/-2%.</t>
  </si>
  <si>
    <t>The 4.0x covenant figure comes from a secondary summary of the IPO prospectus, not the filing itself. Verify before quoting.</t>
  </si>
  <si>
    <t>Airtable and Miro EBITDA are not disclosed; their contributions are assumptions. Nothing here is investment advice.</t>
  </si>
  <si>
    <t>Inputs ($ in millions unless noted)</t>
  </si>
  <si>
    <t>Item</t>
  </si>
  <si>
    <t>Value</t>
  </si>
  <si>
    <t>Unit</t>
  </si>
  <si>
    <t>Source</t>
  </si>
  <si>
    <t>Note</t>
  </si>
  <si>
    <t>Bending Spoons, Q2 2026 (quarter ended Jun 30, 2026)</t>
  </si>
  <si>
    <t>Q2 2026 revenue</t>
  </si>
  <si>
    <t>$mm</t>
  </si>
  <si>
    <t>Q2 2026 earnings release (Aug 13, 2026)</t>
  </si>
  <si>
    <t>Income statement</t>
  </si>
  <si>
    <t>Q2 2026 Adjusted Operating Income</t>
  </si>
  <si>
    <t>Non-GAAP reconciliation</t>
  </si>
  <si>
    <t>Q2 2026 interest expense</t>
  </si>
  <si>
    <t>Q2 2026 reorganization-related expense</t>
  </si>
  <si>
    <t>Mostly separation packages at AOL, Eventbrite, Tractive, Vimeo</t>
  </si>
  <si>
    <t>Q2 2026 organic revenue growth</t>
  </si>
  <si>
    <t>%</t>
  </si>
  <si>
    <t>Headline growth was 126%</t>
  </si>
  <si>
    <t>Net debt, Jun 30, 2026</t>
  </si>
  <si>
    <t>Long-term debt $4.88B less cash $793M</t>
  </si>
  <si>
    <t>Reported leverage ratio, Jun 30, 2026</t>
  </si>
  <si>
    <t>x</t>
  </si>
  <si>
    <t>Net debt / TTM pro forma adj. EBITDA incl. achieved + certain expected savings (footnote 3)</t>
  </si>
  <si>
    <t>Cash and cash equivalents, Jun 30, 2026</t>
  </si>
  <si>
    <t>Balance sheet</t>
  </si>
  <si>
    <t>Debt maturing within 12 months</t>
  </si>
  <si>
    <t>Long-term debt, current</t>
  </si>
  <si>
    <t>Undrawn revolver capacity</t>
  </si>
  <si>
    <t>Of $1.58B total</t>
  </si>
  <si>
    <t>H1 2026 net cash from operating activities</t>
  </si>
  <si>
    <t>After $161M interest paid</t>
  </si>
  <si>
    <t>H1 2026 capex (PP&amp;E)</t>
  </si>
  <si>
    <t>Cash flow statement</t>
  </si>
  <si>
    <t>Accounts receivable, Dec 31, 2025</t>
  </si>
  <si>
    <t>Accounts receivable, Jun 30, 2026</t>
  </si>
  <si>
    <t>H1 2025 revenue</t>
  </si>
  <si>
    <t>Six months ended Jun 30, 2025</t>
  </si>
  <si>
    <t>FY2025 revenue</t>
  </si>
  <si>
    <t>https://www.mostlymetrics.com/p/bending-spoons-ipo-s1-breakdown</t>
  </si>
  <si>
    <t>Secondary summary of prospectus</t>
  </si>
  <si>
    <t>FY2026 Adjusted Operating Income guidance, low</t>
  </si>
  <si>
    <t>Owned businesses as of Aug 12, 2026</t>
  </si>
  <si>
    <t>FY2026 Adjusted Operating Income guidance, high</t>
  </si>
  <si>
    <t>Excludes Airtable</t>
  </si>
  <si>
    <t>Post-quarter events</t>
  </si>
  <si>
    <t>IPO net proceeds (July 2026)</t>
  </si>
  <si>
    <t>39.6M primary shares at $29; assumed held as cash, reducing net debt</t>
  </si>
  <si>
    <t>Airtable enterprise value (closed Sep 4, 2026)</t>
  </si>
  <si>
    <t>All cash; EV basis so net debt rises by EV</t>
  </si>
  <si>
    <t>Miro enterprise value (signed Sep 10, 2026; close Q4)</t>
  </si>
  <si>
    <t>https://investors.bendingspoons.com/newsroom/bending-spoons-agrees-to-acquire-miro</t>
  </si>
  <si>
    <t>Equity value ~$1.79B incl. Miro net cash</t>
  </si>
  <si>
    <t>Miro sellers reinvesting in new BSP equity</t>
  </si>
  <si>
    <t>Reduces cash funding need</t>
  </si>
  <si>
    <t>Miro ARR</t>
  </si>
  <si>
    <t>'About $600 million'; ~90% business/enterprise</t>
  </si>
  <si>
    <t>Leverage covenant (net debt / adj. EBITDA)</t>
  </si>
  <si>
    <t>https://thegoogly.substack.com/p/bending-spoons-the-comeback-story</t>
  </si>
  <si>
    <t>Secondary summary of prospectus; verify in filing</t>
  </si>
  <si>
    <t>Cost of incremental debt</t>
  </si>
  <si>
    <t>All-in rate on largest USD term loan; euro TLAs likely cheaper</t>
  </si>
  <si>
    <t>My assumptions (yellow; change these)</t>
  </si>
  <si>
    <t>H2 2026 free cash flow retained (debt paydown)</t>
  </si>
  <si>
    <t>Assumption</t>
  </si>
  <si>
    <t>H1 OCF less capex was ~$250M; H2 has a fuller AOI base</t>
  </si>
  <si>
    <t>Airtable pro forma EBITDA credited at year-end</t>
  </si>
  <si>
    <t>Not disclosed. Base case 0 = no credit until savings are documented</t>
  </si>
  <si>
    <t>Miro pro forma EBITDA credited at year-end</t>
  </si>
  <si>
    <t>Not disclosed. Base case 0</t>
  </si>
  <si>
    <t>Miro revenue retained after repricing (base)</t>
  </si>
  <si>
    <t>BSP group NRR was 91-95% in 2023-25 (secondary)</t>
  </si>
  <si>
    <t>Miro post-integration operating margin (base)</t>
  </si>
  <si>
    <t>Group adj. operating margin was 54% in Q2 2026</t>
  </si>
  <si>
    <t>Net-debt and leverage walk, Jun 30, 2026 to pro forma year-end 2026 ($mm)</t>
  </si>
  <si>
    <t>Point: with zero EBITDA credit for Airtable and Miro, leverage stays under the covenant, but the headroom left for the next deal depends on how fast savings are achieved and documented.</t>
  </si>
  <si>
    <t>Line</t>
  </si>
  <si>
    <t>How it's built</t>
  </si>
  <si>
    <t>Reported</t>
  </si>
  <si>
    <t>Less: IPO net proceeds</t>
  </si>
  <si>
    <t>Assumes proceeds held as cash until deployed</t>
  </si>
  <si>
    <t>Less: H2 2026 free cash flow retained</t>
  </si>
  <si>
    <t>Plus: Airtable (EV)</t>
  </si>
  <si>
    <t>All cash, closed Sep 4, 2026</t>
  </si>
  <si>
    <t>Plus: Miro EV less seller rollover</t>
  </si>
  <si>
    <t>Expected Q4 2026 close</t>
  </si>
  <si>
    <t>Pro forma net debt, year-end 2026</t>
  </si>
  <si>
    <t>Excludes Tractive $115M deferred consideration (May 2027) and deal fees</t>
  </si>
  <si>
    <t>Implied TTM adj. EBITDA, Jun 30, 2026</t>
  </si>
  <si>
    <t>Net debt / reported 2.4x; held flat (conservative: ignores H2 growth in TTM)</t>
  </si>
  <si>
    <t>Plus: Airtable EBITDA credited</t>
  </si>
  <si>
    <t>Plus: Miro EBITDA credited</t>
  </si>
  <si>
    <t>Pro forma adj. EBITDA</t>
  </si>
  <si>
    <t>Pro forma leverage</t>
  </si>
  <si>
    <t>Net debt / EBITDA</t>
  </si>
  <si>
    <t>Covenant</t>
  </si>
  <si>
    <t>Secondary source; verify</t>
  </si>
  <si>
    <t>Headroom to covenant</t>
  </si>
  <si>
    <t>Debt capacity before covenant ($mm)</t>
  </si>
  <si>
    <t>Extra net debt before hitting 4.0x</t>
  </si>
  <si>
    <t>Interest on Miro funding, annual ($mm)</t>
  </si>
  <si>
    <t>Carry on the incremental debt at the cited 9.43% rate; runs from day one regardless of integration pace</t>
  </si>
  <si>
    <t>Q2 2026 interest as % of Adjusted Operating Income</t>
  </si>
  <si>
    <t>Reported Q2 figures</t>
  </si>
  <si>
    <t>Sensitivity: combined Airtable + Miro EBITDA credited ($mm) vs. pro forma leverage and capacity</t>
  </si>
  <si>
    <t>Combined EBITDA credited ($mm)</t>
  </si>
  <si>
    <t>Leverage</t>
  </si>
  <si>
    <t>Debt capacity to 4.0x ($mm)</t>
  </si>
  <si>
    <t>Reading: each $100M of documented savings credited adds about $400M of acquisition capacity at 4.0x. That is why finance's savings evidence is part of the deal engine, not bookkeeping.</t>
  </si>
  <si>
    <t>Miro: price / post-integration operating income</t>
  </si>
  <si>
    <t>Multiple = EV / (ARR x revenue retained x operating margin). Lower is better; ~5x = 20% annual pre-tax return on price.</t>
  </si>
  <si>
    <t>Miro EV ($mm)</t>
  </si>
  <si>
    <t>Miro ARR ($mm)</t>
  </si>
  <si>
    <t>EV / ARR</t>
  </si>
  <si>
    <t>Grid: rows = operating margin, columns = revenue retained</t>
  </si>
  <si>
    <t>Margin \ Retained</t>
  </si>
  <si>
    <t>Base case (from Inputs)</t>
  </si>
  <si>
    <t>Revenue retained</t>
  </si>
  <si>
    <t>Operating margin</t>
  </si>
  <si>
    <t>Run-rate operating income ($mm)</t>
  </si>
  <si>
    <t>EV / run-rate operating income</t>
  </si>
  <si>
    <t>Pre-tax yield on EV</t>
  </si>
  <si>
    <t>Annual interest on Miro funding ($mm)</t>
  </si>
  <si>
    <t>Operating income / interest (coverage)</t>
  </si>
  <si>
    <t>Cost of delay</t>
  </si>
  <si>
    <t>Operating income lost per month of delay ($mm)</t>
  </si>
  <si>
    <t>Plus interest carried per month ($mm)</t>
  </si>
  <si>
    <t>Acquisition capacity unlocked once savings are credited ($mm)</t>
  </si>
  <si>
    <t>Run-rate operating income x 4.0x covenant; used as a proxy for EBITDA</t>
  </si>
  <si>
    <t>Risk note: Brightcove's revenue fell after acquisition (secondary sources). Retention, not margin, is the variable to watch; the look-back tab tracks it.</t>
  </si>
  <si>
    <t>Receivables check: did AR grow faster than revenue as acquisitions landed?</t>
  </si>
  <si>
    <t>Metric</t>
  </si>
  <si>
    <t>Dec 31, 2025</t>
  </si>
  <si>
    <t>Jun 30, 2026</t>
  </si>
  <si>
    <t>Accounts receivable ($mm)</t>
  </si>
  <si>
    <t>Quarter revenue ($mm)</t>
  </si>
  <si>
    <t>Q4 2025 approximated as half of H2 2025 (not disclosed separately)</t>
  </si>
  <si>
    <t>Days in quarter</t>
  </si>
  <si>
    <t>DSO (AR / quarter revenue x days)</t>
  </si>
  <si>
    <t>AR growth</t>
  </si>
  <si>
    <t>Revenue growth (quarter vs quarter)</t>
  </si>
  <si>
    <t>Reading: AR roughly doubled, but DSO is about flat, so collections kept pace with acquired revenue. The mix is shifting, though: advertising (AOL) and invoiced B2B (Vimeo, Airtable, Miro) carry real credit and collection risk that app-store revenue doesn't. That argues for bringing each target's AR aging, credit memos, and bad-debt reserve into the Day 1-30 integration checklist.</t>
  </si>
  <si>
    <t>Integration scorecard (one page per acquisition)</t>
  </si>
  <si>
    <t>Fill the yellow cells. Example below = Miro, with illustrative targets I would propose; actuals are blank until close.</t>
  </si>
  <si>
    <t>Acquisition</t>
  </si>
  <si>
    <t>Miro</t>
  </si>
  <si>
    <t>Close date</t>
  </si>
  <si>
    <t>Q4 2026 (expected)</t>
  </si>
  <si>
    <t>Owner (finance)</t>
  </si>
  <si>
    <t>Jeff King</t>
  </si>
  <si>
    <t>Target</t>
  </si>
  <si>
    <t>Actual</t>
  </si>
  <si>
    <t>Variance</t>
  </si>
  <si>
    <t>Status</t>
  </si>
  <si>
    <t>Why it matters</t>
  </si>
  <si>
    <t>Days to cash control (payouts on Juno)</t>
  </si>
  <si>
    <t>Cash is the first thing that can leak; 75% of revenue is electronic payments</t>
  </si>
  <si>
    <t>Days to first consolidated close</t>
  </si>
  <si>
    <t>Fixed external deadlines; the disclosed material weakness covers acquired-company integration</t>
  </si>
  <si>
    <t>Access removed same day as exits (%)</t>
  </si>
  <si>
    <t>Segregation of duties breaks first in deep reorganizations (Galf)</t>
  </si>
  <si>
    <t>Run-rate savings achieved vs. plan (%)</t>
  </si>
  <si>
    <t>Achieved savings are credited in reported leverage</t>
  </si>
  <si>
    <t>Net revenue retention vs. pre-deal (pp)</t>
  </si>
  <si>
    <t>Brightcove lesson: margin up, revenue down</t>
  </si>
  <si>
    <t>Reorganization spend vs. budget (%)</t>
  </si>
  <si>
    <t>Add-backs must reconcile to a cost center to survive audit</t>
  </si>
  <si>
    <t>Target systems retired (of total)</t>
  </si>
  <si>
    <t>Simplification: every legacy system kept is a control to test</t>
  </si>
  <si>
    <t>Sunset list (fill per deal)</t>
  </si>
  <si>
    <t>Item to retire</t>
  </si>
  <si>
    <t>Type</t>
  </si>
  <si>
    <t>Target date</t>
  </si>
  <si>
    <t>Done?</t>
  </si>
  <si>
    <t>Target's ERP / GL</t>
  </si>
  <si>
    <t>System</t>
  </si>
  <si>
    <t>Migrate to BSP chart of accounts at first close</t>
  </si>
  <si>
    <t>Target's billing/payment processors</t>
  </si>
  <si>
    <t>Repoint payouts to Juno</t>
  </si>
  <si>
    <t>Target bank accounts</t>
  </si>
  <si>
    <t>Treasury</t>
  </si>
  <si>
    <t>Sweep, then close</t>
  </si>
  <si>
    <t>Redundant legal entities</t>
  </si>
  <si>
    <t>Entity</t>
  </si>
  <si>
    <t>Coordinate with tax (Italy transfer step)</t>
  </si>
  <si>
    <t>Target's board/management reporting packs</t>
  </si>
  <si>
    <t>Report</t>
  </si>
  <si>
    <t>Replace with BSP standard pack</t>
  </si>
  <si>
    <t>12-month look-back: underwritten vs. actual</t>
  </si>
  <si>
    <t>Run 12 months after close. The variances feed the next deal's underwriting assumptions. Example = Miro, underwritten values from the base case.</t>
  </si>
  <si>
    <t>Underwritten</t>
  </si>
  <si>
    <t>Actual (12 mo)</t>
  </si>
  <si>
    <t>What changes in the next underwriting</t>
  </si>
  <si>
    <t>Reorganization cost ($mm)</t>
  </si>
  <si>
    <t>Months to run-rate savings</t>
  </si>
  <si>
    <t>Tie-in: Bending Spoons' Minerva system predicts user lifetime value. The retained-revenue line should be checked against Minerva's cohort curves, not a separate spreadsheet.</t>
  </si>
  <si>
    <t>Sources (opened Oct 12, 2026)</t>
  </si>
  <si>
    <t>URL</t>
  </si>
  <si>
    <t>Bending Spoons Q2 2026 earnings release (primary)</t>
  </si>
  <si>
    <t>https://bendingspoons.com/documents/financials/2026/20260813%20Bending%20Spoons%E2%80%94Q2%202026%20Results.pdf</t>
  </si>
  <si>
    <t>Bending Spoons: agreement to acquire Miro (primary)</t>
  </si>
  <si>
    <t>Bending Spoons: completes acquisition of Airtable (primary)</t>
  </si>
  <si>
    <t>https://investors.bendingspoons.com/newsroom/bending-spoons-completes-acquisition-of-airtable</t>
  </si>
  <si>
    <t>The Googly: prospectus analysis (secondary; covenant, debt rate, material weaknesses)</t>
  </si>
  <si>
    <t>Mostly Metrics: S-1 breakdown (secondary; FY2025 revenue, NRR)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</si>
</sst>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;\(\$#,##0.0\);&quot;-&quot;"/>
    <numFmt numFmtId="165" formatCode="0.0%;\(0.0%\);&quot;-&quot;"/>
    <numFmt numFmtId="166" formatCode="\$#,##0;\(\$#,##0\);&quot;-&quot;"/>
    <numFmt numFmtId="167" formatCode="0.00&quot;x&quot;"/>
    <numFmt numFmtId="168" formatCode="0&quot; days&quot;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color rgb="FF000000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b/>
      <sz val="11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2" borderId="0" xfId="0" applyFont="1" applyFill="1" applyAlignment="1">
      <alignment vertical="center" wrapText="1"/>
    </xf>
    <xf numFmtId="0" fontId="3" fillId="3" borderId="0" xfId="0" applyFont="1" applyFill="1"/>
    <xf numFmtId="0" fontId="0" fillId="3" borderId="0" xfId="0" applyFill="1"/>
    <xf numFmtId="0" fontId="2" fillId="0" borderId="1" xfId="0" applyFont="1" applyBorder="1"/>
    <xf numFmtId="164" fontId="5" fillId="0" borderId="1" xfId="0" applyNumberFormat="1" applyFont="1" applyBorder="1"/>
    <xf numFmtId="0" fontId="2" fillId="0" borderId="1" xfId="0" applyFont="1" applyBorder="1" applyAlignment="1">
      <alignment vertical="top" wrapText="1"/>
    </xf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6" fontId="5" fillId="4" borderId="1" xfId="0" applyNumberFormat="1" applyFont="1" applyFill="1" applyBorder="1"/>
    <xf numFmtId="165" fontId="5" fillId="4" borderId="1" xfId="0" applyNumberFormat="1" applyFont="1" applyFill="1" applyBorder="1"/>
    <xf numFmtId="0" fontId="2" fillId="0" borderId="0" xfId="0" applyFont="1"/>
    <xf numFmtId="166" fontId="6" fillId="0" borderId="0" xfId="0" applyNumberFormat="1" applyFont="1"/>
    <xf numFmtId="166" fontId="2" fillId="0" borderId="0" xfId="0" applyNumberFormat="1" applyFont="1"/>
    <xf numFmtId="0" fontId="3" fillId="0" borderId="0" xfId="0" applyFont="1"/>
    <xf numFmtId="167" fontId="2" fillId="0" borderId="0" xfId="0" applyNumberFormat="1" applyFont="1"/>
    <xf numFmtId="167" fontId="6" fillId="0" borderId="0" xfId="0" applyNumberFormat="1" applyFont="1"/>
    <xf numFmtId="165" fontId="2" fillId="0" borderId="0" xfId="0" applyNumberFormat="1" applyFont="1"/>
    <xf numFmtId="166" fontId="5" fillId="0" borderId="0" xfId="0" applyNumberFormat="1" applyFont="1"/>
    <xf numFmtId="0" fontId="4" fillId="2" borderId="0" xfId="0" applyFont="1" applyFill="1"/>
    <xf numFmtId="165" fontId="7" fillId="3" borderId="0" xfId="0" applyNumberFormat="1" applyFont="1" applyFill="1"/>
    <xf numFmtId="165" fontId="5" fillId="3" borderId="0" xfId="0" applyNumberFormat="1" applyFont="1" applyFill="1"/>
    <xf numFmtId="165" fontId="6" fillId="0" borderId="0" xfId="0" applyNumberFormat="1" applyFont="1"/>
    <xf numFmtId="164" fontId="2" fillId="0" borderId="0" xfId="0" applyNumberFormat="1" applyFont="1"/>
    <xf numFmtId="164" fontId="6" fillId="0" borderId="0" xfId="0" applyNumberFormat="1" applyFont="1"/>
    <xf numFmtId="0" fontId="5" fillId="0" borderId="0" xfId="0" applyFont="1"/>
    <xf numFmtId="168" fontId="2" fillId="0" borderId="0" xfId="0" applyNumberFormat="1" applyFont="1"/>
    <xf numFmtId="0" fontId="5" fillId="4" borderId="0" xfId="0" applyFont="1" applyFill="1"/>
    <xf numFmtId="168" fontId="5" fillId="4" borderId="0" xfId="0" applyNumberFormat="1" applyFont="1" applyFill="1"/>
    <xf numFmtId="165" fontId="5" fillId="4" borderId="0" xfId="0" applyNumberFormat="1" applyFont="1" applyFill="1"/>
    <xf numFmtId="166" fontId="5" fillId="4" borderId="0" xfId="0" applyNumberFormat="1" applyFont="1" applyFill="1"/>
    <xf numFmtId="1" fontId="5" fillId="4" borderId="0" xfId="0" applyNumberFormat="1" applyFont="1" applyFill="1"/>
    <xf numFmtId="1" fontId="2" fillId="0" borderId="0" xfId="0" applyNumberFormat="1" applyFont="1"/>
    <xf numFmtId="168" fontId="6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ont>
        <b/>
        <color rgb="FF008000"/>
        <name val="Arial"/>
      </font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endingspoons.com/documents/financials/2026/20260813%20Bending%20Spoons%E2%80%94Q2%202026%20Results.pdf" TargetMode="External"/><Relationship Id="rId13" Type="http://schemas.openxmlformats.org/officeDocument/2006/relationships/hyperlink" Target="https://bendingspoons.com/documents/financials/2026/20260813%20Bending%20Spoons%E2%80%94Q2%202026%20Results.pdf" TargetMode="External"/><Relationship Id="rId18" Type="http://schemas.openxmlformats.org/officeDocument/2006/relationships/hyperlink" Target="https://bendingspoons.com/documents/financials/2026/20260813%20Bending%20Spoons%E2%80%94Q2%202026%20Results.pdf" TargetMode="External"/><Relationship Id="rId3" Type="http://schemas.openxmlformats.org/officeDocument/2006/relationships/hyperlink" Target="https://bendingspoons.com/documents/financials/2026/20260813%20Bending%20Spoons%E2%80%94Q2%202026%20Results.pdf" TargetMode="External"/><Relationship Id="rId21" Type="http://schemas.openxmlformats.org/officeDocument/2006/relationships/hyperlink" Target="https://investors.bendingspoons.com/newsroom/bending-spoons-agrees-to-acquire-miro" TargetMode="External"/><Relationship Id="rId7" Type="http://schemas.openxmlformats.org/officeDocument/2006/relationships/hyperlink" Target="https://bendingspoons.com/documents/financials/2026/20260813%20Bending%20Spoons%E2%80%94Q2%202026%20Results.pdf" TargetMode="External"/><Relationship Id="rId12" Type="http://schemas.openxmlformats.org/officeDocument/2006/relationships/hyperlink" Target="https://bendingspoons.com/documents/financials/2026/20260813%20Bending%20Spoons%E2%80%94Q2%202026%20Results.pdf" TargetMode="External"/><Relationship Id="rId17" Type="http://schemas.openxmlformats.org/officeDocument/2006/relationships/hyperlink" Target="https://bendingspoons.com/documents/financials/2026/20260813%20Bending%20Spoons%E2%80%94Q2%202026%20Results.pdf" TargetMode="External"/><Relationship Id="rId25" Type="http://schemas.openxmlformats.org/officeDocument/2006/relationships/hyperlink" Target="https://thegoogly.substack.com/p/bending-spoons-the-comeback-story" TargetMode="External"/><Relationship Id="rId2" Type="http://schemas.openxmlformats.org/officeDocument/2006/relationships/hyperlink" Target="https://bendingspoons.com/documents/financials/2026/20260813%20Bending%20Spoons%E2%80%94Q2%202026%20Results.pdf" TargetMode="External"/><Relationship Id="rId16" Type="http://schemas.openxmlformats.org/officeDocument/2006/relationships/hyperlink" Target="https://www.mostlymetrics.com/p/bending-spoons-ipo-s1-breakdown" TargetMode="External"/><Relationship Id="rId20" Type="http://schemas.openxmlformats.org/officeDocument/2006/relationships/hyperlink" Target="https://bendingspoons.com/documents/financials/2026/20260813%20Bending%20Spoons%E2%80%94Q2%202026%20Results.pdf" TargetMode="External"/><Relationship Id="rId1" Type="http://schemas.openxmlformats.org/officeDocument/2006/relationships/hyperlink" Target="https://bendingspoons.com/documents/financials/2026/20260813%20Bending%20Spoons%E2%80%94Q2%202026%20Results.pdf" TargetMode="External"/><Relationship Id="rId6" Type="http://schemas.openxmlformats.org/officeDocument/2006/relationships/hyperlink" Target="https://bendingspoons.com/documents/financials/2026/20260813%20Bending%20Spoons%E2%80%94Q2%202026%20Results.pdf" TargetMode="External"/><Relationship Id="rId11" Type="http://schemas.openxmlformats.org/officeDocument/2006/relationships/hyperlink" Target="https://bendingspoons.com/documents/financials/2026/20260813%20Bending%20Spoons%E2%80%94Q2%202026%20Results.pdf" TargetMode="External"/><Relationship Id="rId24" Type="http://schemas.openxmlformats.org/officeDocument/2006/relationships/hyperlink" Target="https://thegoogly.substack.com/p/bending-spoons-the-comeback-story" TargetMode="External"/><Relationship Id="rId5" Type="http://schemas.openxmlformats.org/officeDocument/2006/relationships/hyperlink" Target="https://bendingspoons.com/documents/financials/2026/20260813%20Bending%20Spoons%E2%80%94Q2%202026%20Results.pdf" TargetMode="External"/><Relationship Id="rId15" Type="http://schemas.openxmlformats.org/officeDocument/2006/relationships/hyperlink" Target="https://bendingspoons.com/documents/financials/2026/20260813%20Bending%20Spoons%E2%80%94Q2%202026%20Results.pdf" TargetMode="External"/><Relationship Id="rId23" Type="http://schemas.openxmlformats.org/officeDocument/2006/relationships/hyperlink" Target="https://investors.bendingspoons.com/newsroom/bending-spoons-agrees-to-acquire-miro" TargetMode="External"/><Relationship Id="rId10" Type="http://schemas.openxmlformats.org/officeDocument/2006/relationships/hyperlink" Target="https://bendingspoons.com/documents/financials/2026/20260813%20Bending%20Spoons%E2%80%94Q2%202026%20Results.pdf" TargetMode="External"/><Relationship Id="rId19" Type="http://schemas.openxmlformats.org/officeDocument/2006/relationships/hyperlink" Target="https://bendingspoons.com/documents/financials/2026/20260813%20Bending%20Spoons%E2%80%94Q2%202026%20Results.pdf" TargetMode="External"/><Relationship Id="rId4" Type="http://schemas.openxmlformats.org/officeDocument/2006/relationships/hyperlink" Target="https://bendingspoons.com/documents/financials/2026/20260813%20Bending%20Spoons%E2%80%94Q2%202026%20Results.pdf" TargetMode="External"/><Relationship Id="rId9" Type="http://schemas.openxmlformats.org/officeDocument/2006/relationships/hyperlink" Target="https://bendingspoons.com/documents/financials/2026/20260813%20Bending%20Spoons%E2%80%94Q2%202026%20Results.pdf" TargetMode="External"/><Relationship Id="rId14" Type="http://schemas.openxmlformats.org/officeDocument/2006/relationships/hyperlink" Target="https://bendingspoons.com/documents/financials/2026/20260813%20Bending%20Spoons%E2%80%94Q2%202026%20Results.pdf" TargetMode="External"/><Relationship Id="rId22" Type="http://schemas.openxmlformats.org/officeDocument/2006/relationships/hyperlink" Target="https://investors.bendingspoons.com/newsroom/bending-spoons-agrees-to-acquire-miro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investors.bendingspoons.com/newsroom/bending-spoons-completes-acquisition-of-airtable" TargetMode="External"/><Relationship Id="rId2" Type="http://schemas.openxmlformats.org/officeDocument/2006/relationships/hyperlink" Target="https://investors.bendingspoons.com/newsroom/bending-spoons-agrees-to-acquire-miro" TargetMode="External"/><Relationship Id="rId1" Type="http://schemas.openxmlformats.org/officeDocument/2006/relationships/hyperlink" Target="https://bendingspoons.com/documents/financials/2026/20260813%20Bending%20Spoons%E2%80%94Q2%202026%20Results.pdf" TargetMode="External"/><Relationship Id="rId5" Type="http://schemas.openxmlformats.org/officeDocument/2006/relationships/hyperlink" Target="https://www.mostlymetrics.com/p/bending-spoons-ipo-s1-breakdown" TargetMode="External"/><Relationship Id="rId4" Type="http://schemas.openxmlformats.org/officeDocument/2006/relationships/hyperlink" Target="https://thegoogly.substack.com/p/bending-spoons-the-comeback-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showGridLines="0" tabSelected="1" workbookViewId="0"/>
  </sheetViews>
  <sheetFormatPr defaultRowHeight="14.5" x14ac:dyDescent="0.35"/>
  <cols>
    <col min="1" max="1" width="3" customWidth="1"/>
    <col min="2" max="2" width="110" customWidth="1"/>
  </cols>
  <sheetData>
    <row r="1" spans="2:2" ht="18" x14ac:dyDescent="0.35">
      <c r="B1" s="1" t="s">
        <v>0</v>
      </c>
    </row>
    <row r="2" spans="2:2" x14ac:dyDescent="0.35">
      <c r="B2" s="2" t="s">
        <v>1</v>
      </c>
    </row>
    <row r="3" spans="2:2" x14ac:dyDescent="0.35">
      <c r="B3" s="2"/>
    </row>
    <row r="4" spans="2:2" ht="28" x14ac:dyDescent="0.35">
      <c r="B4" s="3" t="s">
        <v>2</v>
      </c>
    </row>
    <row r="5" spans="2:2" x14ac:dyDescent="0.35">
      <c r="B5" s="2"/>
    </row>
    <row r="6" spans="2:2" x14ac:dyDescent="0.35">
      <c r="B6" s="3" t="s">
        <v>3</v>
      </c>
    </row>
    <row r="7" spans="2:2" x14ac:dyDescent="0.35">
      <c r="B7" s="2" t="s">
        <v>4</v>
      </c>
    </row>
    <row r="8" spans="2:2" ht="28" x14ac:dyDescent="0.35">
      <c r="B8" s="2" t="s">
        <v>5</v>
      </c>
    </row>
    <row r="9" spans="2:2" ht="28" x14ac:dyDescent="0.35">
      <c r="B9" s="2" t="s">
        <v>6</v>
      </c>
    </row>
    <row r="10" spans="2:2" x14ac:dyDescent="0.35">
      <c r="B10" s="2" t="s">
        <v>7</v>
      </c>
    </row>
    <row r="11" spans="2:2" x14ac:dyDescent="0.35">
      <c r="B11" s="2" t="s">
        <v>8</v>
      </c>
    </row>
    <row r="12" spans="2:2" x14ac:dyDescent="0.35">
      <c r="B12" s="2" t="s">
        <v>9</v>
      </c>
    </row>
    <row r="13" spans="2:2" x14ac:dyDescent="0.35">
      <c r="B13" s="2" t="s">
        <v>10</v>
      </c>
    </row>
    <row r="14" spans="2:2" x14ac:dyDescent="0.35">
      <c r="B14" s="2"/>
    </row>
    <row r="15" spans="2:2" x14ac:dyDescent="0.35">
      <c r="B15" s="3" t="s">
        <v>11</v>
      </c>
    </row>
    <row r="16" spans="2:2" ht="28" x14ac:dyDescent="0.35">
      <c r="B16" s="2" t="s">
        <v>12</v>
      </c>
    </row>
    <row r="17" spans="2:2" x14ac:dyDescent="0.35">
      <c r="B17" s="2"/>
    </row>
    <row r="18" spans="2:2" x14ac:dyDescent="0.35">
      <c r="B18" s="3" t="s">
        <v>13</v>
      </c>
    </row>
    <row r="19" spans="2:2" ht="28" x14ac:dyDescent="0.35">
      <c r="B19" s="2" t="s">
        <v>14</v>
      </c>
    </row>
    <row r="20" spans="2:2" ht="28" x14ac:dyDescent="0.35">
      <c r="B20" s="2" t="s">
        <v>15</v>
      </c>
    </row>
    <row r="21" spans="2:2" x14ac:dyDescent="0.35">
      <c r="B2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14" customWidth="1"/>
    <col min="3" max="3" width="10" customWidth="1"/>
    <col min="4" max="4" width="46" customWidth="1"/>
    <col min="5" max="5" width="60" customWidth="1"/>
  </cols>
  <sheetData>
    <row r="1" spans="1:5" ht="18" x14ac:dyDescent="0.4">
      <c r="A1" s="4" t="s">
        <v>17</v>
      </c>
    </row>
    <row r="3" spans="1:5" x14ac:dyDescent="0.35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spans="1:5" x14ac:dyDescent="0.35">
      <c r="A4" s="6" t="s">
        <v>23</v>
      </c>
      <c r="B4" s="7"/>
      <c r="C4" s="7"/>
      <c r="D4" s="7"/>
      <c r="E4" s="7"/>
    </row>
    <row r="5" spans="1:5" x14ac:dyDescent="0.35">
      <c r="A5" s="8" t="s">
        <v>24</v>
      </c>
      <c r="B5" s="9">
        <v>704.15499999999997</v>
      </c>
      <c r="C5" s="8" t="s">
        <v>25</v>
      </c>
      <c r="D5" s="8" t="s">
        <v>26</v>
      </c>
      <c r="E5" s="10" t="s">
        <v>27</v>
      </c>
    </row>
    <row r="6" spans="1:5" x14ac:dyDescent="0.35">
      <c r="A6" s="8" t="s">
        <v>28</v>
      </c>
      <c r="B6" s="9">
        <v>381.149</v>
      </c>
      <c r="C6" s="8" t="s">
        <v>25</v>
      </c>
      <c r="D6" s="8" t="s">
        <v>26</v>
      </c>
      <c r="E6" s="10" t="s">
        <v>29</v>
      </c>
    </row>
    <row r="7" spans="1:5" x14ac:dyDescent="0.35">
      <c r="A7" s="8" t="s">
        <v>30</v>
      </c>
      <c r="B7" s="9">
        <v>108.97</v>
      </c>
      <c r="C7" s="8" t="s">
        <v>25</v>
      </c>
      <c r="D7" s="8" t="s">
        <v>26</v>
      </c>
      <c r="E7" s="10" t="s">
        <v>27</v>
      </c>
    </row>
    <row r="8" spans="1:5" x14ac:dyDescent="0.35">
      <c r="A8" s="8" t="s">
        <v>31</v>
      </c>
      <c r="B8" s="9">
        <v>50.798999999999999</v>
      </c>
      <c r="C8" s="8" t="s">
        <v>25</v>
      </c>
      <c r="D8" s="8" t="s">
        <v>26</v>
      </c>
      <c r="E8" s="10" t="s">
        <v>32</v>
      </c>
    </row>
    <row r="9" spans="1:5" x14ac:dyDescent="0.35">
      <c r="A9" s="8" t="s">
        <v>33</v>
      </c>
      <c r="B9" s="11">
        <v>0.03</v>
      </c>
      <c r="C9" s="8" t="s">
        <v>34</v>
      </c>
      <c r="D9" s="8" t="s">
        <v>26</v>
      </c>
      <c r="E9" s="10" t="s">
        <v>35</v>
      </c>
    </row>
    <row r="10" spans="1:5" x14ac:dyDescent="0.35">
      <c r="A10" s="8" t="s">
        <v>36</v>
      </c>
      <c r="B10" s="12">
        <v>4090</v>
      </c>
      <c r="C10" s="8" t="s">
        <v>25</v>
      </c>
      <c r="D10" s="8" t="s">
        <v>26</v>
      </c>
      <c r="E10" s="10" t="s">
        <v>37</v>
      </c>
    </row>
    <row r="11" spans="1:5" ht="28" x14ac:dyDescent="0.35">
      <c r="A11" s="8" t="s">
        <v>38</v>
      </c>
      <c r="B11" s="13">
        <v>2.4</v>
      </c>
      <c r="C11" s="8" t="s">
        <v>39</v>
      </c>
      <c r="D11" s="8" t="s">
        <v>26</v>
      </c>
      <c r="E11" s="10" t="s">
        <v>40</v>
      </c>
    </row>
    <row r="12" spans="1:5" x14ac:dyDescent="0.35">
      <c r="A12" s="8" t="s">
        <v>41</v>
      </c>
      <c r="B12" s="9">
        <v>792.95</v>
      </c>
      <c r="C12" s="8" t="s">
        <v>25</v>
      </c>
      <c r="D12" s="8" t="s">
        <v>26</v>
      </c>
      <c r="E12" s="10" t="s">
        <v>42</v>
      </c>
    </row>
    <row r="13" spans="1:5" x14ac:dyDescent="0.35">
      <c r="A13" s="8" t="s">
        <v>43</v>
      </c>
      <c r="B13" s="12">
        <v>794</v>
      </c>
      <c r="C13" s="8" t="s">
        <v>25</v>
      </c>
      <c r="D13" s="8" t="s">
        <v>26</v>
      </c>
      <c r="E13" s="10" t="s">
        <v>44</v>
      </c>
    </row>
    <row r="14" spans="1:5" x14ac:dyDescent="0.35">
      <c r="A14" s="8" t="s">
        <v>45</v>
      </c>
      <c r="B14" s="12">
        <v>1280</v>
      </c>
      <c r="C14" s="8" t="s">
        <v>25</v>
      </c>
      <c r="D14" s="8" t="s">
        <v>26</v>
      </c>
      <c r="E14" s="10" t="s">
        <v>46</v>
      </c>
    </row>
    <row r="15" spans="1:5" x14ac:dyDescent="0.35">
      <c r="A15" s="8" t="s">
        <v>47</v>
      </c>
      <c r="B15" s="9">
        <v>254.24</v>
      </c>
      <c r="C15" s="8" t="s">
        <v>25</v>
      </c>
      <c r="D15" s="8" t="s">
        <v>26</v>
      </c>
      <c r="E15" s="10" t="s">
        <v>48</v>
      </c>
    </row>
    <row r="16" spans="1:5" x14ac:dyDescent="0.35">
      <c r="A16" s="8" t="s">
        <v>49</v>
      </c>
      <c r="B16" s="9">
        <v>3.9689999999999999</v>
      </c>
      <c r="C16" s="8" t="s">
        <v>25</v>
      </c>
      <c r="D16" s="8" t="s">
        <v>26</v>
      </c>
      <c r="E16" s="10" t="s">
        <v>50</v>
      </c>
    </row>
    <row r="17" spans="1:5" x14ac:dyDescent="0.35">
      <c r="A17" s="8" t="s">
        <v>51</v>
      </c>
      <c r="B17" s="9">
        <v>144.59299999999999</v>
      </c>
      <c r="C17" s="8" t="s">
        <v>25</v>
      </c>
      <c r="D17" s="8" t="s">
        <v>26</v>
      </c>
      <c r="E17" s="10" t="s">
        <v>42</v>
      </c>
    </row>
    <row r="18" spans="1:5" x14ac:dyDescent="0.35">
      <c r="A18" s="8" t="s">
        <v>52</v>
      </c>
      <c r="B18" s="9">
        <v>278.767</v>
      </c>
      <c r="C18" s="8" t="s">
        <v>25</v>
      </c>
      <c r="D18" s="8" t="s">
        <v>26</v>
      </c>
      <c r="E18" s="10" t="s">
        <v>42</v>
      </c>
    </row>
    <row r="19" spans="1:5" x14ac:dyDescent="0.35">
      <c r="A19" s="8" t="s">
        <v>53</v>
      </c>
      <c r="B19" s="9">
        <v>570.04600000000005</v>
      </c>
      <c r="C19" s="8" t="s">
        <v>25</v>
      </c>
      <c r="D19" s="8" t="s">
        <v>26</v>
      </c>
      <c r="E19" s="10" t="s">
        <v>54</v>
      </c>
    </row>
    <row r="20" spans="1:5" x14ac:dyDescent="0.35">
      <c r="A20" s="8" t="s">
        <v>55</v>
      </c>
      <c r="B20" s="12">
        <v>1306</v>
      </c>
      <c r="C20" s="8" t="s">
        <v>25</v>
      </c>
      <c r="D20" s="8" t="s">
        <v>56</v>
      </c>
      <c r="E20" s="10" t="s">
        <v>57</v>
      </c>
    </row>
    <row r="21" spans="1:5" x14ac:dyDescent="0.35">
      <c r="A21" s="8" t="s">
        <v>58</v>
      </c>
      <c r="B21" s="12">
        <v>1460</v>
      </c>
      <c r="C21" s="8" t="s">
        <v>25</v>
      </c>
      <c r="D21" s="8" t="s">
        <v>26</v>
      </c>
      <c r="E21" s="10" t="s">
        <v>59</v>
      </c>
    </row>
    <row r="22" spans="1:5" x14ac:dyDescent="0.35">
      <c r="A22" s="8" t="s">
        <v>60</v>
      </c>
      <c r="B22" s="12">
        <v>1510</v>
      </c>
      <c r="C22" s="8" t="s">
        <v>25</v>
      </c>
      <c r="D22" s="8" t="s">
        <v>26</v>
      </c>
      <c r="E22" s="10" t="s">
        <v>61</v>
      </c>
    </row>
    <row r="23" spans="1:5" x14ac:dyDescent="0.35">
      <c r="A23" s="6" t="s">
        <v>62</v>
      </c>
      <c r="B23" s="7"/>
      <c r="C23" s="7"/>
      <c r="D23" s="7"/>
      <c r="E23" s="7"/>
    </row>
    <row r="24" spans="1:5" ht="28" x14ac:dyDescent="0.35">
      <c r="A24" s="8" t="s">
        <v>63</v>
      </c>
      <c r="B24" s="12">
        <v>1100</v>
      </c>
      <c r="C24" s="8" t="s">
        <v>25</v>
      </c>
      <c r="D24" s="8" t="s">
        <v>26</v>
      </c>
      <c r="E24" s="10" t="s">
        <v>64</v>
      </c>
    </row>
    <row r="25" spans="1:5" x14ac:dyDescent="0.35">
      <c r="A25" s="8" t="s">
        <v>65</v>
      </c>
      <c r="B25" s="12">
        <v>1290</v>
      </c>
      <c r="C25" s="8" t="s">
        <v>25</v>
      </c>
      <c r="D25" s="8" t="s">
        <v>26</v>
      </c>
      <c r="E25" s="10" t="s">
        <v>66</v>
      </c>
    </row>
    <row r="26" spans="1:5" x14ac:dyDescent="0.35">
      <c r="A26" s="8" t="s">
        <v>67</v>
      </c>
      <c r="B26" s="12">
        <v>1355</v>
      </c>
      <c r="C26" s="8" t="s">
        <v>25</v>
      </c>
      <c r="D26" s="8" t="s">
        <v>68</v>
      </c>
      <c r="E26" s="10" t="s">
        <v>69</v>
      </c>
    </row>
    <row r="27" spans="1:5" x14ac:dyDescent="0.35">
      <c r="A27" s="8" t="s">
        <v>70</v>
      </c>
      <c r="B27" s="12">
        <v>295</v>
      </c>
      <c r="C27" s="8" t="s">
        <v>25</v>
      </c>
      <c r="D27" s="8" t="s">
        <v>68</v>
      </c>
      <c r="E27" s="10" t="s">
        <v>71</v>
      </c>
    </row>
    <row r="28" spans="1:5" x14ac:dyDescent="0.35">
      <c r="A28" s="8" t="s">
        <v>72</v>
      </c>
      <c r="B28" s="12">
        <v>600</v>
      </c>
      <c r="C28" s="8" t="s">
        <v>25</v>
      </c>
      <c r="D28" s="8" t="s">
        <v>68</v>
      </c>
      <c r="E28" s="10" t="s">
        <v>73</v>
      </c>
    </row>
    <row r="29" spans="1:5" x14ac:dyDescent="0.35">
      <c r="A29" s="8" t="s">
        <v>74</v>
      </c>
      <c r="B29" s="13">
        <v>4</v>
      </c>
      <c r="C29" s="8" t="s">
        <v>39</v>
      </c>
      <c r="D29" s="8" t="s">
        <v>75</v>
      </c>
      <c r="E29" s="10" t="s">
        <v>76</v>
      </c>
    </row>
    <row r="30" spans="1:5" x14ac:dyDescent="0.35">
      <c r="A30" s="8" t="s">
        <v>77</v>
      </c>
      <c r="B30" s="11">
        <v>9.4299999999999995E-2</v>
      </c>
      <c r="C30" s="8" t="s">
        <v>34</v>
      </c>
      <c r="D30" s="8" t="s">
        <v>75</v>
      </c>
      <c r="E30" s="10" t="s">
        <v>78</v>
      </c>
    </row>
    <row r="31" spans="1:5" x14ac:dyDescent="0.35">
      <c r="A31" s="6" t="s">
        <v>79</v>
      </c>
      <c r="B31" s="7"/>
      <c r="C31" s="7"/>
      <c r="D31" s="7"/>
      <c r="E31" s="7"/>
    </row>
    <row r="32" spans="1:5" x14ac:dyDescent="0.35">
      <c r="A32" s="8" t="s">
        <v>80</v>
      </c>
      <c r="B32" s="14">
        <v>300</v>
      </c>
      <c r="C32" s="8" t="s">
        <v>25</v>
      </c>
      <c r="D32" s="8" t="s">
        <v>81</v>
      </c>
      <c r="E32" s="10" t="s">
        <v>82</v>
      </c>
    </row>
    <row r="33" spans="1:5" ht="28" x14ac:dyDescent="0.35">
      <c r="A33" s="8" t="s">
        <v>83</v>
      </c>
      <c r="B33" s="14">
        <v>0</v>
      </c>
      <c r="C33" s="8" t="s">
        <v>25</v>
      </c>
      <c r="D33" s="8" t="s">
        <v>81</v>
      </c>
      <c r="E33" s="10" t="s">
        <v>84</v>
      </c>
    </row>
    <row r="34" spans="1:5" x14ac:dyDescent="0.35">
      <c r="A34" s="8" t="s">
        <v>85</v>
      </c>
      <c r="B34" s="14">
        <v>0</v>
      </c>
      <c r="C34" s="8" t="s">
        <v>25</v>
      </c>
      <c r="D34" s="8" t="s">
        <v>81</v>
      </c>
      <c r="E34" s="10" t="s">
        <v>86</v>
      </c>
    </row>
    <row r="35" spans="1:5" x14ac:dyDescent="0.35">
      <c r="A35" s="8" t="s">
        <v>87</v>
      </c>
      <c r="B35" s="15">
        <v>0.92</v>
      </c>
      <c r="C35" s="8" t="s">
        <v>34</v>
      </c>
      <c r="D35" s="8" t="s">
        <v>81</v>
      </c>
      <c r="E35" s="10" t="s">
        <v>88</v>
      </c>
    </row>
    <row r="36" spans="1:5" x14ac:dyDescent="0.35">
      <c r="A36" s="8" t="s">
        <v>89</v>
      </c>
      <c r="B36" s="15">
        <v>0.45</v>
      </c>
      <c r="C36" s="8" t="s">
        <v>34</v>
      </c>
      <c r="D36" s="8" t="s">
        <v>81</v>
      </c>
      <c r="E36" s="10" t="s">
        <v>90</v>
      </c>
    </row>
  </sheetData>
  <hyperlinks>
    <hyperlink ref="D5" r:id="rId1" xr:uid="{00000000-0004-0000-0100-000000000000}"/>
    <hyperlink ref="D6" r:id="rId2" xr:uid="{00000000-0004-0000-0100-000001000000}"/>
    <hyperlink ref="D7" r:id="rId3" xr:uid="{00000000-0004-0000-0100-000002000000}"/>
    <hyperlink ref="D8" r:id="rId4" xr:uid="{00000000-0004-0000-0100-000003000000}"/>
    <hyperlink ref="D9" r:id="rId5" xr:uid="{00000000-0004-0000-0100-000004000000}"/>
    <hyperlink ref="D10" r:id="rId6" xr:uid="{00000000-0004-0000-0100-000005000000}"/>
    <hyperlink ref="D11" r:id="rId7" xr:uid="{00000000-0004-0000-0100-000006000000}"/>
    <hyperlink ref="D12" r:id="rId8" xr:uid="{00000000-0004-0000-0100-000007000000}"/>
    <hyperlink ref="D13" r:id="rId9" xr:uid="{00000000-0004-0000-0100-000008000000}"/>
    <hyperlink ref="D14" r:id="rId10" xr:uid="{00000000-0004-0000-0100-000009000000}"/>
    <hyperlink ref="D15" r:id="rId11" xr:uid="{00000000-0004-0000-0100-00000A000000}"/>
    <hyperlink ref="D16" r:id="rId12" xr:uid="{00000000-0004-0000-0100-00000B000000}"/>
    <hyperlink ref="D17" r:id="rId13" xr:uid="{00000000-0004-0000-0100-00000C000000}"/>
    <hyperlink ref="D18" r:id="rId14" xr:uid="{00000000-0004-0000-0100-00000D000000}"/>
    <hyperlink ref="D19" r:id="rId15" xr:uid="{00000000-0004-0000-0100-00000E000000}"/>
    <hyperlink ref="D20" r:id="rId16" xr:uid="{00000000-0004-0000-0100-00000F000000}"/>
    <hyperlink ref="D21" r:id="rId17" xr:uid="{00000000-0004-0000-0100-000010000000}"/>
    <hyperlink ref="D22" r:id="rId18" xr:uid="{00000000-0004-0000-0100-000011000000}"/>
    <hyperlink ref="D24" r:id="rId19" xr:uid="{00000000-0004-0000-0100-000012000000}"/>
    <hyperlink ref="D25" r:id="rId20" xr:uid="{00000000-0004-0000-0100-000013000000}"/>
    <hyperlink ref="D26" r:id="rId21" xr:uid="{00000000-0004-0000-0100-000014000000}"/>
    <hyperlink ref="D27" r:id="rId22" xr:uid="{00000000-0004-0000-0100-000015000000}"/>
    <hyperlink ref="D28" r:id="rId23" xr:uid="{00000000-0004-0000-0100-000016000000}"/>
    <hyperlink ref="D29" r:id="rId24" xr:uid="{00000000-0004-0000-0100-000017000000}"/>
    <hyperlink ref="D30" r:id="rId25" xr:uid="{00000000-0004-0000-0100-00001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showGridLines="0" workbookViewId="0"/>
  </sheetViews>
  <sheetFormatPr defaultRowHeight="14.5" x14ac:dyDescent="0.35"/>
  <cols>
    <col min="1" max="1" width="58" customWidth="1"/>
    <col min="2" max="2" width="16" customWidth="1"/>
    <col min="3" max="3" width="70" customWidth="1"/>
  </cols>
  <sheetData>
    <row r="1" spans="1:3" ht="18" x14ac:dyDescent="0.4">
      <c r="A1" s="4" t="s">
        <v>91</v>
      </c>
    </row>
    <row r="2" spans="1:3" ht="30" customHeight="1" x14ac:dyDescent="0.35">
      <c r="A2" s="2" t="s">
        <v>92</v>
      </c>
    </row>
    <row r="4" spans="1:3" x14ac:dyDescent="0.35">
      <c r="A4" s="5" t="s">
        <v>93</v>
      </c>
      <c r="B4" s="5" t="s">
        <v>19</v>
      </c>
      <c r="C4" s="5" t="s">
        <v>94</v>
      </c>
    </row>
    <row r="5" spans="1:3" x14ac:dyDescent="0.35">
      <c r="A5" s="16" t="s">
        <v>36</v>
      </c>
      <c r="B5" s="17">
        <f>Inputs!$B$10</f>
        <v>4090</v>
      </c>
      <c r="C5" s="2" t="s">
        <v>95</v>
      </c>
    </row>
    <row r="6" spans="1:3" x14ac:dyDescent="0.35">
      <c r="A6" s="16" t="s">
        <v>96</v>
      </c>
      <c r="B6" s="17">
        <f>-Inputs!$B$24</f>
        <v>-1100</v>
      </c>
      <c r="C6" s="2" t="s">
        <v>97</v>
      </c>
    </row>
    <row r="7" spans="1:3" x14ac:dyDescent="0.35">
      <c r="A7" s="16" t="s">
        <v>98</v>
      </c>
      <c r="B7" s="17">
        <f>-Inputs!$B$32</f>
        <v>-300</v>
      </c>
      <c r="C7" s="2" t="s">
        <v>81</v>
      </c>
    </row>
    <row r="8" spans="1:3" x14ac:dyDescent="0.35">
      <c r="A8" s="16" t="s">
        <v>99</v>
      </c>
      <c r="B8" s="17">
        <f>Inputs!$B$25</f>
        <v>1290</v>
      </c>
      <c r="C8" s="2" t="s">
        <v>100</v>
      </c>
    </row>
    <row r="9" spans="1:3" x14ac:dyDescent="0.35">
      <c r="A9" s="16" t="s">
        <v>101</v>
      </c>
      <c r="B9" s="18">
        <f>Inputs!$B$26-Inputs!$B$27</f>
        <v>1060</v>
      </c>
      <c r="C9" s="2" t="s">
        <v>102</v>
      </c>
    </row>
    <row r="10" spans="1:3" x14ac:dyDescent="0.35">
      <c r="A10" s="19" t="s">
        <v>103</v>
      </c>
      <c r="B10" s="18">
        <f>SUM(B5:B9)</f>
        <v>5040</v>
      </c>
      <c r="C10" s="2" t="s">
        <v>104</v>
      </c>
    </row>
    <row r="11" spans="1:3" x14ac:dyDescent="0.35">
      <c r="A11" s="16"/>
      <c r="C11" s="2"/>
    </row>
    <row r="12" spans="1:3" x14ac:dyDescent="0.35">
      <c r="A12" s="16" t="s">
        <v>105</v>
      </c>
      <c r="B12" s="18">
        <f>Inputs!$B$10/Inputs!$B$11</f>
        <v>1704.1666666666667</v>
      </c>
      <c r="C12" s="2" t="s">
        <v>106</v>
      </c>
    </row>
    <row r="13" spans="1:3" x14ac:dyDescent="0.35">
      <c r="A13" s="16" t="s">
        <v>107</v>
      </c>
      <c r="B13" s="17">
        <f>Inputs!$B$33</f>
        <v>0</v>
      </c>
      <c r="C13" s="2" t="s">
        <v>81</v>
      </c>
    </row>
    <row r="14" spans="1:3" x14ac:dyDescent="0.35">
      <c r="A14" s="16" t="s">
        <v>108</v>
      </c>
      <c r="B14" s="17">
        <f>Inputs!$B$34</f>
        <v>0</v>
      </c>
      <c r="C14" s="2" t="s">
        <v>81</v>
      </c>
    </row>
    <row r="15" spans="1:3" x14ac:dyDescent="0.35">
      <c r="A15" s="19" t="s">
        <v>109</v>
      </c>
      <c r="B15" s="18">
        <f>SUM(B12:B14)</f>
        <v>1704.1666666666667</v>
      </c>
      <c r="C15" s="2"/>
    </row>
    <row r="16" spans="1:3" x14ac:dyDescent="0.35">
      <c r="A16" s="16"/>
      <c r="C16" s="2"/>
    </row>
    <row r="17" spans="1:3" x14ac:dyDescent="0.35">
      <c r="A17" s="19" t="s">
        <v>110</v>
      </c>
      <c r="B17" s="20">
        <f>IFERROR(B10/B15,0)</f>
        <v>2.9574572127139365</v>
      </c>
      <c r="C17" s="2" t="s">
        <v>111</v>
      </c>
    </row>
    <row r="18" spans="1:3" x14ac:dyDescent="0.35">
      <c r="A18" s="16" t="s">
        <v>112</v>
      </c>
      <c r="B18" s="21">
        <f>Inputs!$B$29</f>
        <v>4</v>
      </c>
      <c r="C18" s="2" t="s">
        <v>113</v>
      </c>
    </row>
    <row r="19" spans="1:3" x14ac:dyDescent="0.35">
      <c r="A19" s="19" t="s">
        <v>114</v>
      </c>
      <c r="B19" s="20">
        <f>B18-B17</f>
        <v>1.0425427872860635</v>
      </c>
      <c r="C19" s="2"/>
    </row>
    <row r="20" spans="1:3" x14ac:dyDescent="0.35">
      <c r="A20" s="19" t="s">
        <v>115</v>
      </c>
      <c r="B20" s="18">
        <f>B18*B15-B10</f>
        <v>1776.666666666667</v>
      </c>
      <c r="C20" s="2" t="s">
        <v>116</v>
      </c>
    </row>
    <row r="21" spans="1:3" x14ac:dyDescent="0.35">
      <c r="A21" s="16"/>
      <c r="C21" s="2"/>
    </row>
    <row r="22" spans="1:3" ht="28" x14ac:dyDescent="0.35">
      <c r="A22" s="16" t="s">
        <v>117</v>
      </c>
      <c r="B22" s="18">
        <f>(Inputs!$B$26-Inputs!$B$27)*Inputs!$B$30</f>
        <v>99.957999999999998</v>
      </c>
      <c r="C22" s="2" t="s">
        <v>118</v>
      </c>
    </row>
    <row r="23" spans="1:3" x14ac:dyDescent="0.35">
      <c r="A23" s="16" t="s">
        <v>119</v>
      </c>
      <c r="B23" s="22">
        <f>Inputs!$B$7/Inputs!$B$6</f>
        <v>0.28589869053834588</v>
      </c>
      <c r="C23" s="2" t="s">
        <v>120</v>
      </c>
    </row>
    <row r="26" spans="1:3" x14ac:dyDescent="0.35">
      <c r="A26" s="19" t="s">
        <v>121</v>
      </c>
    </row>
    <row r="27" spans="1:3" x14ac:dyDescent="0.35">
      <c r="A27" s="5" t="s">
        <v>122</v>
      </c>
      <c r="B27" s="5" t="s">
        <v>123</v>
      </c>
      <c r="C27" s="5" t="s">
        <v>124</v>
      </c>
    </row>
    <row r="28" spans="1:3" x14ac:dyDescent="0.35">
      <c r="A28" s="23">
        <v>0</v>
      </c>
      <c r="B28" s="20">
        <f t="shared" ref="B28:B33" si="0">IFERROR($B$10/($B$12+A28),0)</f>
        <v>2.9574572127139365</v>
      </c>
      <c r="C28" s="18">
        <f t="shared" ref="C28:C33" si="1">$B$18*($B$12+A28)-$B$10</f>
        <v>1776.666666666667</v>
      </c>
    </row>
    <row r="29" spans="1:3" x14ac:dyDescent="0.35">
      <c r="A29" s="23">
        <v>100</v>
      </c>
      <c r="B29" s="20">
        <f t="shared" si="0"/>
        <v>2.7935334872979212</v>
      </c>
      <c r="C29" s="18">
        <f t="shared" si="1"/>
        <v>2176.666666666667</v>
      </c>
    </row>
    <row r="30" spans="1:3" x14ac:dyDescent="0.35">
      <c r="A30" s="23">
        <v>200</v>
      </c>
      <c r="B30" s="20">
        <f t="shared" si="0"/>
        <v>2.6468271334792122</v>
      </c>
      <c r="C30" s="18">
        <f t="shared" si="1"/>
        <v>2576.666666666667</v>
      </c>
    </row>
    <row r="31" spans="1:3" x14ac:dyDescent="0.35">
      <c r="A31" s="23">
        <v>300</v>
      </c>
      <c r="B31" s="20">
        <f t="shared" si="0"/>
        <v>2.5147609147609145</v>
      </c>
      <c r="C31" s="18">
        <f t="shared" si="1"/>
        <v>2976.666666666667</v>
      </c>
    </row>
    <row r="32" spans="1:3" x14ac:dyDescent="0.35">
      <c r="A32" s="23">
        <v>400</v>
      </c>
      <c r="B32" s="20">
        <f t="shared" si="0"/>
        <v>2.3952475247524747</v>
      </c>
      <c r="C32" s="18">
        <f t="shared" si="1"/>
        <v>3376.6666666666679</v>
      </c>
    </row>
    <row r="33" spans="1:3" x14ac:dyDescent="0.35">
      <c r="A33" s="23">
        <v>500</v>
      </c>
      <c r="B33" s="20">
        <f t="shared" si="0"/>
        <v>2.2865784499054818</v>
      </c>
      <c r="C33" s="18">
        <f t="shared" si="1"/>
        <v>3776.6666666666679</v>
      </c>
    </row>
    <row r="35" spans="1:3" ht="30" customHeight="1" x14ac:dyDescent="0.35">
      <c r="A35" s="2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workbookViewId="0"/>
  </sheetViews>
  <sheetFormatPr defaultRowHeight="14.5" x14ac:dyDescent="0.35"/>
  <cols>
    <col min="1" max="1" width="46" customWidth="1"/>
    <col min="2" max="5" width="14" customWidth="1"/>
    <col min="6" max="6" width="40" customWidth="1"/>
  </cols>
  <sheetData>
    <row r="1" spans="1:4" ht="18" x14ac:dyDescent="0.4">
      <c r="A1" s="4" t="s">
        <v>126</v>
      </c>
    </row>
    <row r="2" spans="1:4" x14ac:dyDescent="0.35">
      <c r="A2" s="16" t="s">
        <v>127</v>
      </c>
    </row>
    <row r="4" spans="1:4" x14ac:dyDescent="0.35">
      <c r="A4" s="19" t="s">
        <v>128</v>
      </c>
      <c r="B4" s="17">
        <f>Inputs!$B$26</f>
        <v>1355</v>
      </c>
    </row>
    <row r="5" spans="1:4" x14ac:dyDescent="0.35">
      <c r="A5" s="19" t="s">
        <v>129</v>
      </c>
      <c r="B5" s="17">
        <f>Inputs!$B$28</f>
        <v>600</v>
      </c>
    </row>
    <row r="6" spans="1:4" x14ac:dyDescent="0.35">
      <c r="A6" s="19" t="s">
        <v>130</v>
      </c>
      <c r="B6" s="20">
        <f>B4/B5</f>
        <v>2.2583333333333333</v>
      </c>
    </row>
    <row r="8" spans="1:4" x14ac:dyDescent="0.35">
      <c r="A8" s="19" t="s">
        <v>131</v>
      </c>
    </row>
    <row r="9" spans="1:4" x14ac:dyDescent="0.35">
      <c r="A9" s="24" t="s">
        <v>132</v>
      </c>
      <c r="B9" s="25">
        <v>0.85</v>
      </c>
      <c r="C9" s="25">
        <v>0.92</v>
      </c>
      <c r="D9" s="25">
        <v>1</v>
      </c>
    </row>
    <row r="10" spans="1:4" x14ac:dyDescent="0.35">
      <c r="A10" s="26">
        <v>0.35</v>
      </c>
      <c r="B10" s="20">
        <f t="shared" ref="B10:D12" si="0">IFERROR($B$4/($B$5*B$9*$A10),0)</f>
        <v>7.591036414565826</v>
      </c>
      <c r="C10" s="20">
        <f t="shared" si="0"/>
        <v>7.0134575569358182</v>
      </c>
      <c r="D10" s="20">
        <f t="shared" si="0"/>
        <v>6.4523809523809526</v>
      </c>
    </row>
    <row r="11" spans="1:4" x14ac:dyDescent="0.35">
      <c r="A11" s="26">
        <v>0.45</v>
      </c>
      <c r="B11" s="20">
        <f t="shared" si="0"/>
        <v>5.9041394335511983</v>
      </c>
      <c r="C11" s="20">
        <f t="shared" si="0"/>
        <v>5.4549114331723025</v>
      </c>
      <c r="D11" s="20">
        <f t="shared" si="0"/>
        <v>5.0185185185185182</v>
      </c>
    </row>
    <row r="12" spans="1:4" x14ac:dyDescent="0.35">
      <c r="A12" s="26">
        <v>0.55000000000000004</v>
      </c>
      <c r="B12" s="20">
        <f t="shared" si="0"/>
        <v>4.8306595365418898</v>
      </c>
      <c r="C12" s="20">
        <f t="shared" si="0"/>
        <v>4.4631093544137022</v>
      </c>
      <c r="D12" s="20">
        <f t="shared" si="0"/>
        <v>4.1060606060606064</v>
      </c>
    </row>
    <row r="15" spans="1:4" x14ac:dyDescent="0.35">
      <c r="A15" s="19" t="s">
        <v>133</v>
      </c>
    </row>
    <row r="16" spans="1:4" x14ac:dyDescent="0.35">
      <c r="A16" s="16" t="s">
        <v>134</v>
      </c>
      <c r="B16" s="27">
        <f>Inputs!$B$35</f>
        <v>0.92</v>
      </c>
    </row>
    <row r="17" spans="1:6" x14ac:dyDescent="0.35">
      <c r="A17" s="16" t="s">
        <v>135</v>
      </c>
      <c r="B17" s="27">
        <f>Inputs!$B$36</f>
        <v>0.45</v>
      </c>
    </row>
    <row r="18" spans="1:6" x14ac:dyDescent="0.35">
      <c r="A18" s="16" t="s">
        <v>136</v>
      </c>
      <c r="B18" s="18">
        <f>B5*B16*B17</f>
        <v>248.4</v>
      </c>
    </row>
    <row r="19" spans="1:6" x14ac:dyDescent="0.35">
      <c r="A19" s="16" t="s">
        <v>137</v>
      </c>
      <c r="B19" s="20">
        <f>IFERROR(B4/B18,0)</f>
        <v>5.4549114331723025</v>
      </c>
    </row>
    <row r="20" spans="1:6" x14ac:dyDescent="0.35">
      <c r="A20" s="16" t="s">
        <v>138</v>
      </c>
      <c r="B20" s="22">
        <f>IFERROR(B18/B4,0)</f>
        <v>0.18332103321033211</v>
      </c>
    </row>
    <row r="21" spans="1:6" x14ac:dyDescent="0.35">
      <c r="A21" s="16" t="s">
        <v>139</v>
      </c>
      <c r="B21" s="17">
        <f>Leverage!B22</f>
        <v>99.957999999999998</v>
      </c>
    </row>
    <row r="22" spans="1:6" x14ac:dyDescent="0.35">
      <c r="A22" s="16" t="s">
        <v>140</v>
      </c>
      <c r="B22" s="20">
        <f>IFERROR(B18/B21,0)</f>
        <v>2.485043718361712</v>
      </c>
    </row>
    <row r="24" spans="1:6" x14ac:dyDescent="0.35">
      <c r="A24" s="19" t="s">
        <v>141</v>
      </c>
    </row>
    <row r="25" spans="1:6" x14ac:dyDescent="0.35">
      <c r="A25" s="16" t="s">
        <v>142</v>
      </c>
      <c r="B25" s="28">
        <f>B18/12</f>
        <v>20.7</v>
      </c>
    </row>
    <row r="26" spans="1:6" x14ac:dyDescent="0.35">
      <c r="A26" s="16" t="s">
        <v>143</v>
      </c>
      <c r="B26" s="28">
        <f>B21/12</f>
        <v>8.3298333333333332</v>
      </c>
    </row>
    <row r="27" spans="1:6" ht="28" x14ac:dyDescent="0.35">
      <c r="A27" s="16" t="s">
        <v>144</v>
      </c>
      <c r="B27" s="18">
        <f>B18*Inputs!$B$29</f>
        <v>993.6</v>
      </c>
      <c r="F27" s="2" t="s">
        <v>145</v>
      </c>
    </row>
    <row r="29" spans="1:6" ht="30" customHeight="1" x14ac:dyDescent="0.35">
      <c r="A29" s="2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workbookViewId="0"/>
  </sheetViews>
  <sheetFormatPr defaultRowHeight="14.5" x14ac:dyDescent="0.35"/>
  <cols>
    <col min="1" max="1" width="46" customWidth="1"/>
    <col min="2" max="3" width="16" customWidth="1"/>
    <col min="4" max="4" width="50" customWidth="1"/>
  </cols>
  <sheetData>
    <row r="1" spans="1:4" ht="18" x14ac:dyDescent="0.4">
      <c r="A1" s="4" t="s">
        <v>147</v>
      </c>
    </row>
    <row r="3" spans="1:4" x14ac:dyDescent="0.35">
      <c r="A3" s="5" t="s">
        <v>148</v>
      </c>
      <c r="B3" s="5" t="s">
        <v>149</v>
      </c>
      <c r="C3" s="5" t="s">
        <v>150</v>
      </c>
      <c r="D3" s="5" t="s">
        <v>22</v>
      </c>
    </row>
    <row r="4" spans="1:4" x14ac:dyDescent="0.35">
      <c r="A4" s="16" t="s">
        <v>151</v>
      </c>
      <c r="B4" s="29">
        <f>Inputs!$B$17</f>
        <v>144.59299999999999</v>
      </c>
      <c r="C4" s="29">
        <f>Inputs!$B$18</f>
        <v>278.767</v>
      </c>
    </row>
    <row r="5" spans="1:4" ht="28" x14ac:dyDescent="0.35">
      <c r="A5" s="16" t="s">
        <v>152</v>
      </c>
      <c r="B5" s="28">
        <f>(Inputs!$B$20-Inputs!$B$19)/2</f>
        <v>367.97699999999998</v>
      </c>
      <c r="C5" s="29">
        <f>Inputs!$B$5</f>
        <v>704.15499999999997</v>
      </c>
      <c r="D5" s="2" t="s">
        <v>153</v>
      </c>
    </row>
    <row r="6" spans="1:4" x14ac:dyDescent="0.35">
      <c r="A6" s="16" t="s">
        <v>154</v>
      </c>
      <c r="B6" s="30">
        <v>92</v>
      </c>
      <c r="C6" s="30">
        <v>91</v>
      </c>
    </row>
    <row r="7" spans="1:4" x14ac:dyDescent="0.35">
      <c r="A7" s="19" t="s">
        <v>155</v>
      </c>
      <c r="B7" s="31">
        <f>IFERROR(B4/B5*B6,0)</f>
        <v>36.150509406837926</v>
      </c>
      <c r="C7" s="31">
        <f>IFERROR(C4/C5*C6,0)</f>
        <v>36.02587072448538</v>
      </c>
    </row>
    <row r="8" spans="1:4" x14ac:dyDescent="0.35">
      <c r="A8" s="16" t="s">
        <v>156</v>
      </c>
      <c r="C8" s="22">
        <f>C4/B4-1</f>
        <v>0.92794256983394785</v>
      </c>
    </row>
    <row r="9" spans="1:4" x14ac:dyDescent="0.35">
      <c r="A9" s="16" t="s">
        <v>157</v>
      </c>
      <c r="C9" s="22">
        <f>C5/B5-1</f>
        <v>0.91358427293010158</v>
      </c>
    </row>
    <row r="11" spans="1:4" ht="62" customHeight="1" x14ac:dyDescent="0.35">
      <c r="A11" s="39" t="s">
        <v>158</v>
      </c>
      <c r="B11" s="40"/>
      <c r="C11" s="40"/>
      <c r="D11" s="40"/>
    </row>
  </sheetData>
  <mergeCells count="1"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workbookViewId="0"/>
  </sheetViews>
  <sheetFormatPr defaultRowHeight="14.5" x14ac:dyDescent="0.35"/>
  <cols>
    <col min="1" max="1" width="34" customWidth="1"/>
    <col min="2" max="4" width="14" customWidth="1"/>
    <col min="5" max="5" width="12" customWidth="1"/>
    <col min="6" max="6" width="46" customWidth="1"/>
  </cols>
  <sheetData>
    <row r="1" spans="1:6" ht="18" x14ac:dyDescent="0.4">
      <c r="A1" s="4" t="s">
        <v>159</v>
      </c>
    </row>
    <row r="2" spans="1:6" x14ac:dyDescent="0.35">
      <c r="A2" s="16" t="s">
        <v>160</v>
      </c>
    </row>
    <row r="3" spans="1:6" x14ac:dyDescent="0.35">
      <c r="A3" s="19" t="s">
        <v>161</v>
      </c>
      <c r="B3" s="32" t="s">
        <v>162</v>
      </c>
    </row>
    <row r="4" spans="1:6" x14ac:dyDescent="0.35">
      <c r="A4" s="19" t="s">
        <v>163</v>
      </c>
      <c r="B4" s="32" t="s">
        <v>164</v>
      </c>
    </row>
    <row r="5" spans="1:6" x14ac:dyDescent="0.35">
      <c r="A5" s="19" t="s">
        <v>165</v>
      </c>
      <c r="B5" s="32" t="s">
        <v>166</v>
      </c>
    </row>
    <row r="7" spans="1:6" x14ac:dyDescent="0.35">
      <c r="A7" s="5" t="s">
        <v>148</v>
      </c>
      <c r="B7" s="5" t="s">
        <v>167</v>
      </c>
      <c r="C7" s="5" t="s">
        <v>168</v>
      </c>
      <c r="D7" s="5" t="s">
        <v>169</v>
      </c>
      <c r="E7" s="5" t="s">
        <v>170</v>
      </c>
      <c r="F7" s="5" t="s">
        <v>171</v>
      </c>
    </row>
    <row r="8" spans="1:6" ht="30" customHeight="1" x14ac:dyDescent="0.35">
      <c r="A8" s="16" t="s">
        <v>172</v>
      </c>
      <c r="B8" s="33">
        <v>30</v>
      </c>
      <c r="C8" s="33"/>
      <c r="D8" s="31" t="str">
        <f t="shared" ref="D8:D14" si="0">IF(C8="","",C8-B8)</f>
        <v/>
      </c>
      <c r="E8" s="16" t="str">
        <f>IF(C8="","Open",IF(C8&lt;=B8,"On track","Behind"))</f>
        <v>Open</v>
      </c>
      <c r="F8" s="2" t="s">
        <v>173</v>
      </c>
    </row>
    <row r="9" spans="1:6" ht="30" customHeight="1" x14ac:dyDescent="0.35">
      <c r="A9" s="16" t="s">
        <v>174</v>
      </c>
      <c r="B9" s="33">
        <v>60</v>
      </c>
      <c r="C9" s="33"/>
      <c r="D9" s="31" t="str">
        <f t="shared" si="0"/>
        <v/>
      </c>
      <c r="E9" s="16" t="str">
        <f>IF(C9="","Open",IF(C9&lt;=B9,"On track","Behind"))</f>
        <v>Open</v>
      </c>
      <c r="F9" s="2" t="s">
        <v>175</v>
      </c>
    </row>
    <row r="10" spans="1:6" ht="30" customHeight="1" x14ac:dyDescent="0.35">
      <c r="A10" s="16" t="s">
        <v>176</v>
      </c>
      <c r="B10" s="34">
        <v>1</v>
      </c>
      <c r="C10" s="34"/>
      <c r="D10" s="22" t="str">
        <f t="shared" si="0"/>
        <v/>
      </c>
      <c r="E10" s="16" t="str">
        <f>IF(C10="","Open",IF(C10&gt;=B10,"On track","Behind"))</f>
        <v>Open</v>
      </c>
      <c r="F10" s="2" t="s">
        <v>177</v>
      </c>
    </row>
    <row r="11" spans="1:6" ht="30" customHeight="1" x14ac:dyDescent="0.35">
      <c r="A11" s="16" t="s">
        <v>178</v>
      </c>
      <c r="B11" s="34">
        <v>1</v>
      </c>
      <c r="C11" s="34"/>
      <c r="D11" s="22" t="str">
        <f t="shared" si="0"/>
        <v/>
      </c>
      <c r="E11" s="16" t="str">
        <f>IF(C11="","Open",IF(C11&gt;=B11,"On track","Behind"))</f>
        <v>Open</v>
      </c>
      <c r="F11" s="2" t="s">
        <v>179</v>
      </c>
    </row>
    <row r="12" spans="1:6" ht="30" customHeight="1" x14ac:dyDescent="0.35">
      <c r="A12" s="16" t="s">
        <v>180</v>
      </c>
      <c r="B12" s="34">
        <v>0</v>
      </c>
      <c r="C12" s="34"/>
      <c r="D12" s="22" t="str">
        <f t="shared" si="0"/>
        <v/>
      </c>
      <c r="E12" s="16" t="str">
        <f>IF(C12="","Open",IF(C12&gt;=B12,"On track","Behind"))</f>
        <v>Open</v>
      </c>
      <c r="F12" s="2" t="s">
        <v>181</v>
      </c>
    </row>
    <row r="13" spans="1:6" ht="30" customHeight="1" x14ac:dyDescent="0.35">
      <c r="A13" s="16" t="s">
        <v>182</v>
      </c>
      <c r="B13" s="34">
        <v>1</v>
      </c>
      <c r="C13" s="34"/>
      <c r="D13" s="22" t="str">
        <f t="shared" si="0"/>
        <v/>
      </c>
      <c r="E13" s="16" t="str">
        <f>IF(C13="","Open",IF(C13&lt;=B13,"On track","Behind"))</f>
        <v>Open</v>
      </c>
      <c r="F13" s="2" t="s">
        <v>183</v>
      </c>
    </row>
    <row r="14" spans="1:6" ht="30" customHeight="1" x14ac:dyDescent="0.35">
      <c r="A14" s="16" t="s">
        <v>184</v>
      </c>
      <c r="B14" s="34">
        <v>1</v>
      </c>
      <c r="C14" s="34"/>
      <c r="D14" s="22" t="str">
        <f t="shared" si="0"/>
        <v/>
      </c>
      <c r="E14" s="16" t="str">
        <f>IF(C14="","Open",IF(C14&gt;=B14,"On track","Behind"))</f>
        <v>Open</v>
      </c>
      <c r="F14" s="2" t="s">
        <v>185</v>
      </c>
    </row>
    <row r="16" spans="1:6" x14ac:dyDescent="0.35">
      <c r="A16" s="19" t="s">
        <v>186</v>
      </c>
    </row>
    <row r="17" spans="1:6" x14ac:dyDescent="0.35">
      <c r="A17" s="5" t="s">
        <v>187</v>
      </c>
      <c r="B17" s="5" t="s">
        <v>188</v>
      </c>
      <c r="C17" s="5" t="s">
        <v>189</v>
      </c>
      <c r="D17" s="5" t="s">
        <v>190</v>
      </c>
      <c r="E17" s="5"/>
      <c r="F17" s="5" t="s">
        <v>22</v>
      </c>
    </row>
    <row r="18" spans="1:6" x14ac:dyDescent="0.35">
      <c r="A18" s="30" t="s">
        <v>191</v>
      </c>
      <c r="B18" s="30" t="s">
        <v>192</v>
      </c>
      <c r="C18" s="32"/>
      <c r="D18" s="32"/>
      <c r="F18" s="16" t="s">
        <v>193</v>
      </c>
    </row>
    <row r="19" spans="1:6" x14ac:dyDescent="0.35">
      <c r="A19" s="30" t="s">
        <v>194</v>
      </c>
      <c r="B19" s="30" t="s">
        <v>192</v>
      </c>
      <c r="C19" s="32"/>
      <c r="D19" s="32"/>
      <c r="F19" s="16" t="s">
        <v>195</v>
      </c>
    </row>
    <row r="20" spans="1:6" x14ac:dyDescent="0.35">
      <c r="A20" s="30" t="s">
        <v>196</v>
      </c>
      <c r="B20" s="30" t="s">
        <v>197</v>
      </c>
      <c r="C20" s="32"/>
      <c r="D20" s="32"/>
      <c r="F20" s="16" t="s">
        <v>198</v>
      </c>
    </row>
    <row r="21" spans="1:6" x14ac:dyDescent="0.35">
      <c r="A21" s="30" t="s">
        <v>199</v>
      </c>
      <c r="B21" s="30" t="s">
        <v>200</v>
      </c>
      <c r="C21" s="32"/>
      <c r="D21" s="32"/>
      <c r="F21" s="16" t="s">
        <v>201</v>
      </c>
    </row>
    <row r="22" spans="1:6" x14ac:dyDescent="0.35">
      <c r="A22" s="30" t="s">
        <v>202</v>
      </c>
      <c r="B22" s="30" t="s">
        <v>203</v>
      </c>
      <c r="C22" s="32"/>
      <c r="D22" s="32"/>
      <c r="F22" s="16" t="s">
        <v>204</v>
      </c>
    </row>
  </sheetData>
  <conditionalFormatting sqref="E8:E14">
    <cfRule type="cellIs" dxfId="1" priority="1" operator="equal">
      <formula>"Behind"</formula>
    </cfRule>
    <cfRule type="cellIs" dxfId="0" priority="2" operator="equal">
      <formula>"On track"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/>
  </sheetViews>
  <sheetFormatPr defaultRowHeight="14.5" x14ac:dyDescent="0.35"/>
  <cols>
    <col min="1" max="1" width="40" customWidth="1"/>
    <col min="2" max="3" width="16" customWidth="1"/>
    <col min="4" max="4" width="14" customWidth="1"/>
    <col min="5" max="5" width="50" customWidth="1"/>
  </cols>
  <sheetData>
    <row r="1" spans="1:5" ht="18" x14ac:dyDescent="0.4">
      <c r="A1" s="4" t="s">
        <v>205</v>
      </c>
    </row>
    <row r="2" spans="1:5" x14ac:dyDescent="0.35">
      <c r="A2" s="16" t="s">
        <v>206</v>
      </c>
    </row>
    <row r="4" spans="1:5" x14ac:dyDescent="0.35">
      <c r="A4" s="5" t="s">
        <v>81</v>
      </c>
      <c r="B4" s="5" t="s">
        <v>207</v>
      </c>
      <c r="C4" s="5" t="s">
        <v>208</v>
      </c>
      <c r="D4" s="5" t="s">
        <v>169</v>
      </c>
      <c r="E4" s="5" t="s">
        <v>209</v>
      </c>
    </row>
    <row r="5" spans="1:5" x14ac:dyDescent="0.35">
      <c r="A5" s="16" t="s">
        <v>134</v>
      </c>
      <c r="B5" s="27">
        <f>Inputs!$B$35</f>
        <v>0.92</v>
      </c>
      <c r="C5" s="34"/>
      <c r="D5" s="22" t="str">
        <f t="shared" ref="D5:D10" si="0">IF(OR(B5="",C5=""),"",C5-B5)</f>
        <v/>
      </c>
      <c r="E5" s="32"/>
    </row>
    <row r="6" spans="1:5" x14ac:dyDescent="0.35">
      <c r="A6" s="16" t="s">
        <v>135</v>
      </c>
      <c r="B6" s="27">
        <f>Inputs!$B$36</f>
        <v>0.45</v>
      </c>
      <c r="C6" s="34"/>
      <c r="D6" s="22" t="str">
        <f t="shared" si="0"/>
        <v/>
      </c>
      <c r="E6" s="32"/>
    </row>
    <row r="7" spans="1:5" x14ac:dyDescent="0.35">
      <c r="A7" s="16" t="s">
        <v>136</v>
      </c>
      <c r="B7" s="17">
        <f>Miro_Payback!B18</f>
        <v>248.4</v>
      </c>
      <c r="C7" s="35"/>
      <c r="D7" s="18" t="str">
        <f t="shared" si="0"/>
        <v/>
      </c>
      <c r="E7" s="32"/>
    </row>
    <row r="8" spans="1:5" x14ac:dyDescent="0.35">
      <c r="A8" s="16" t="s">
        <v>210</v>
      </c>
      <c r="B8" s="35"/>
      <c r="C8" s="35"/>
      <c r="D8" s="18" t="str">
        <f t="shared" si="0"/>
        <v/>
      </c>
      <c r="E8" s="32"/>
    </row>
    <row r="9" spans="1:5" x14ac:dyDescent="0.35">
      <c r="A9" s="16" t="s">
        <v>211</v>
      </c>
      <c r="B9" s="36"/>
      <c r="C9" s="36"/>
      <c r="D9" s="37" t="str">
        <f t="shared" si="0"/>
        <v/>
      </c>
      <c r="E9" s="32"/>
    </row>
    <row r="10" spans="1:5" x14ac:dyDescent="0.35">
      <c r="A10" s="16" t="s">
        <v>174</v>
      </c>
      <c r="B10" s="38">
        <f>Scorecard!B9</f>
        <v>60</v>
      </c>
      <c r="C10" s="33"/>
      <c r="D10" s="31" t="str">
        <f t="shared" si="0"/>
        <v/>
      </c>
      <c r="E10" s="32"/>
    </row>
    <row r="12" spans="1:5" ht="30" customHeight="1" x14ac:dyDescent="0.35">
      <c r="A12" s="39" t="s">
        <v>212</v>
      </c>
      <c r="B12" s="40"/>
      <c r="C12" s="40"/>
      <c r="D12" s="40"/>
      <c r="E12" s="40"/>
    </row>
  </sheetData>
  <mergeCells count="1"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showGridLines="0" workbookViewId="0"/>
  </sheetViews>
  <sheetFormatPr defaultRowHeight="14.5" x14ac:dyDescent="0.35"/>
  <cols>
    <col min="1" max="1" width="60" customWidth="1"/>
    <col min="2" max="2" width="100" customWidth="1"/>
  </cols>
  <sheetData>
    <row r="1" spans="1:2" ht="18" x14ac:dyDescent="0.4">
      <c r="A1" s="4" t="s">
        <v>213</v>
      </c>
    </row>
    <row r="3" spans="1:2" x14ac:dyDescent="0.35">
      <c r="A3" s="5" t="s">
        <v>21</v>
      </c>
      <c r="B3" s="5" t="s">
        <v>214</v>
      </c>
    </row>
    <row r="4" spans="1:2" x14ac:dyDescent="0.35">
      <c r="A4" s="16" t="s">
        <v>215</v>
      </c>
      <c r="B4" s="16" t="s">
        <v>216</v>
      </c>
    </row>
    <row r="5" spans="1:2" x14ac:dyDescent="0.35">
      <c r="A5" s="16" t="s">
        <v>217</v>
      </c>
      <c r="B5" s="16" t="s">
        <v>68</v>
      </c>
    </row>
    <row r="6" spans="1:2" x14ac:dyDescent="0.35">
      <c r="A6" s="16" t="s">
        <v>218</v>
      </c>
      <c r="B6" s="16" t="s">
        <v>219</v>
      </c>
    </row>
    <row r="7" spans="1:2" x14ac:dyDescent="0.35">
      <c r="A7" s="16" t="s">
        <v>220</v>
      </c>
      <c r="B7" s="16" t="s">
        <v>75</v>
      </c>
    </row>
    <row r="8" spans="1:2" x14ac:dyDescent="0.35">
      <c r="A8" s="16" t="s">
        <v>221</v>
      </c>
      <c r="B8" s="16" t="s">
        <v>56</v>
      </c>
    </row>
  </sheetData>
  <hyperlinks>
    <hyperlink ref="B4" r:id="rId1" xr:uid="{00000000-0004-0000-0700-000000000000}"/>
    <hyperlink ref="B5" r:id="rId2" xr:uid="{00000000-0004-0000-0700-000001000000}"/>
    <hyperlink ref="B6" r:id="rId3" xr:uid="{00000000-0004-0000-0700-000002000000}"/>
    <hyperlink ref="B7" r:id="rId4" xr:uid="{00000000-0004-0000-0700-000003000000}"/>
    <hyperlink ref="B8" r:id="rId5" xr:uid="{00000000-0004-0000-07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Inputs</vt:lpstr>
      <vt:lpstr>Leverage</vt:lpstr>
      <vt:lpstr>Miro_Payback</vt:lpstr>
      <vt:lpstr>Working_Capital</vt:lpstr>
      <vt:lpstr>Scorecard</vt:lpstr>
      <vt:lpstr>Lookback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King</cp:lastModifiedBy>
  <dcterms:created xsi:type="dcterms:W3CDTF">2026-10-12T11:31:48Z</dcterms:created>
  <dcterms:modified xsi:type="dcterms:W3CDTF">2026-10-12T11:32:00Z</dcterms:modified>
</cp:coreProperties>
</file>